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Loan_Portfolio" sheetId="1" state="visible" r:id="rId2"/>
    <sheet name="Bond_Portfolio" sheetId="2" state="visible" r:id="rId3"/>
    <sheet name="Default_Prob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<sst xmlns="http://schemas.openxmlformats.org/spreadsheetml/2006/main" count="172" uniqueCount="114">
  <si>
    <t xml:space="preserve">LOAN PORTFOLIO - BLOCK A: CREDIT RISK COMPONENTS</t>
  </si>
  <si>
    <t xml:space="preserve">Data for Expected Loss Calculation Exercise</t>
  </si>
  <si>
    <t xml:space="preserve">Loan_ID</t>
  </si>
  <si>
    <t xml:space="preserve">Borrower_Type</t>
  </si>
  <si>
    <t xml:space="preserve">Rating</t>
  </si>
  <si>
    <t xml:space="preserve">Exposure_Amount_USD</t>
  </si>
  <si>
    <t xml:space="preserve">Collateral_Type</t>
  </si>
  <si>
    <t xml:space="preserve">Collateral_Value_USD</t>
  </si>
  <si>
    <t xml:space="preserve">Committed_Line_USD</t>
  </si>
  <si>
    <t xml:space="preserve">Current_Drawn_Pct</t>
  </si>
  <si>
    <t xml:space="preserve">Historical_Default_Rate_Pct</t>
  </si>
  <si>
    <t xml:space="preserve">Industry_Sector</t>
  </si>
  <si>
    <t xml:space="preserve">L001</t>
  </si>
  <si>
    <t xml:space="preserve">Corporate</t>
  </si>
  <si>
    <t xml:space="preserve">BBB</t>
  </si>
  <si>
    <t xml:space="preserve">Equipment</t>
  </si>
  <si>
    <t xml:space="preserve">Manufacturing</t>
  </si>
  <si>
    <t xml:space="preserve">L002</t>
  </si>
  <si>
    <t xml:space="preserve">BB</t>
  </si>
  <si>
    <t xml:space="preserve">Real_Estate</t>
  </si>
  <si>
    <t xml:space="preserve">L003</t>
  </si>
  <si>
    <t xml:space="preserve">A</t>
  </si>
  <si>
    <t xml:space="preserve">Unsecured</t>
  </si>
  <si>
    <t xml:space="preserve">Technology</t>
  </si>
  <si>
    <t xml:space="preserve">L004</t>
  </si>
  <si>
    <t xml:space="preserve">SME</t>
  </si>
  <si>
    <t xml:space="preserve">Unrated</t>
  </si>
  <si>
    <t xml:space="preserve">Inventory</t>
  </si>
  <si>
    <t xml:space="preserve">Retail</t>
  </si>
  <si>
    <t xml:space="preserve">L005</t>
  </si>
  <si>
    <t xml:space="preserve">Construction</t>
  </si>
  <si>
    <t xml:space="preserve">L006</t>
  </si>
  <si>
    <t xml:space="preserve">L007</t>
  </si>
  <si>
    <t xml:space="preserve">Retail_Mortgage</t>
  </si>
  <si>
    <t xml:space="preserve">Prime</t>
  </si>
  <si>
    <t xml:space="preserve">Residential_Property</t>
  </si>
  <si>
    <t xml:space="preserve">Residential</t>
  </si>
  <si>
    <t xml:space="preserve">L008</t>
  </si>
  <si>
    <t xml:space="preserve">L009</t>
  </si>
  <si>
    <t xml:space="preserve">Subprime</t>
  </si>
  <si>
    <t xml:space="preserve">L010</t>
  </si>
  <si>
    <t xml:space="preserve">AAA</t>
  </si>
  <si>
    <t xml:space="preserve">Government_Bonds</t>
  </si>
  <si>
    <t xml:space="preserve">Financial</t>
  </si>
  <si>
    <t xml:space="preserve">BOND PORTFOLIO - BLOCK B: CREDIT MIGRATION &amp; MARK-TO-MARKET</t>
  </si>
  <si>
    <t xml:space="preserve">Data for Credit Migration Exercise</t>
  </si>
  <si>
    <t xml:space="preserve">Bond_ID</t>
  </si>
  <si>
    <t xml:space="preserve">Issuer</t>
  </si>
  <si>
    <t xml:space="preserve">Current_Rating</t>
  </si>
  <si>
    <t xml:space="preserve">New_Rating</t>
  </si>
  <si>
    <t xml:space="preserve">Current_CDS_Spread_bps</t>
  </si>
  <si>
    <t xml:space="preserve">Rating_Change</t>
  </si>
  <si>
    <t xml:space="preserve">Face_Value_USD</t>
  </si>
  <si>
    <t xml:space="preserve">Coupon_Rate_Pct</t>
  </si>
  <si>
    <t xml:space="preserve">Years_to_Maturity</t>
  </si>
  <si>
    <t xml:space="preserve">Current_Yield_Pct</t>
  </si>
  <si>
    <t xml:space="preserve">Current_Market_Price</t>
  </si>
  <si>
    <t xml:space="preserve">Current_Market_Value</t>
  </si>
  <si>
    <t xml:space="preserve">New_Yield_Pct</t>
  </si>
  <si>
    <t xml:space="preserve">New_Market_Price</t>
  </si>
  <si>
    <t xml:space="preserve">New_Market_Value</t>
  </si>
  <si>
    <t xml:space="preserve">B001</t>
  </si>
  <si>
    <t xml:space="preserve">TechCorp</t>
  </si>
  <si>
    <t xml:space="preserve">Downgrade</t>
  </si>
  <si>
    <t xml:space="preserve">B002</t>
  </si>
  <si>
    <t xml:space="preserve">AutoMfg</t>
  </si>
  <si>
    <t xml:space="preserve">Upgrade</t>
  </si>
  <si>
    <t xml:space="preserve">B003</t>
  </si>
  <si>
    <t xml:space="preserve">RetailChain</t>
  </si>
  <si>
    <t xml:space="preserve">No_Change</t>
  </si>
  <si>
    <t xml:space="preserve">B004</t>
  </si>
  <si>
    <t xml:space="preserve">EnergyInc</t>
  </si>
  <si>
    <t xml:space="preserve">B005</t>
  </si>
  <si>
    <t xml:space="preserve">PharmaCo</t>
  </si>
  <si>
    <t xml:space="preserve">AA</t>
  </si>
  <si>
    <t xml:space="preserve">B006</t>
  </si>
  <si>
    <t xml:space="preserve">BankHolding</t>
  </si>
  <si>
    <t xml:space="preserve">B</t>
  </si>
  <si>
    <t xml:space="preserve">B007</t>
  </si>
  <si>
    <t xml:space="preserve">UtilityCo</t>
  </si>
  <si>
    <t xml:space="preserve">B008</t>
  </si>
  <si>
    <t xml:space="preserve">TelecomGlobal</t>
  </si>
  <si>
    <t xml:space="preserve">CREDIT SPREADS</t>
  </si>
  <si>
    <t xml:space="preserve">Credit spreads (basis points) over risk-free rate by rating and maturity</t>
  </si>
  <si>
    <t xml:space="preserve">Assumption: Risk-free rate = 3.5% for all maturities</t>
  </si>
  <si>
    <t xml:space="preserve">1Y_bps</t>
  </si>
  <si>
    <t xml:space="preserve">3Y_bps</t>
  </si>
  <si>
    <t xml:space="preserve">5Y_bps</t>
  </si>
  <si>
    <t xml:space="preserve">7Y_bps</t>
  </si>
  <si>
    <t xml:space="preserve">10Y_bps</t>
  </si>
  <si>
    <t xml:space="preserve">CCC</t>
  </si>
  <si>
    <t xml:space="preserve">Cumulative Default Probabilities (%)</t>
  </si>
  <si>
    <t xml:space="preserve">Source: Rating Agencies (1981-2020)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</si>
  <si>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</si>
  <si>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</si>
  <si>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</si>
  <si>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</si>
  <si>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</si>
  <si>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7</t>
  </si>
  <si>
    <t xml:space="preserve">Year 10</t>
  </si>
  <si>
    <t xml:space="preserve">Year 15</t>
  </si>
  <si>
    <t xml:space="preserve">CCC/C</t>
  </si>
  <si>
    <t xml:space="preserve">CREDIT RATING TRANSITION MATRIX</t>
  </si>
  <si>
    <t xml:space="preserve">One-year rating migration probabilities (% probability)</t>
  </si>
  <si>
    <t xml:space="preserve">Read: Row = Current Rating, Column = Rating in 1 Year</t>
  </si>
  <si>
    <t xml:space="preserve">From_Rating</t>
  </si>
  <si>
    <t xml:space="preserve">To_AAA</t>
  </si>
  <si>
    <t xml:space="preserve">To_AA</t>
  </si>
  <si>
    <t xml:space="preserve">To_A</t>
  </si>
  <si>
    <t xml:space="preserve">To_BBB</t>
  </si>
  <si>
    <t xml:space="preserve">To_BB</t>
  </si>
  <si>
    <t xml:space="preserve">To_B</t>
  </si>
  <si>
    <t xml:space="preserve">To_CCC</t>
  </si>
  <si>
    <t xml:space="preserve">Default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</si>
</sst>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"/>
    <numFmt numFmtId="168" formatCode="0.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i val="true"/>
      <sz val="1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666666"/>
      </patternFill>
    </fill>
    <fill>
      <patternFill patternType="solid">
        <fgColor rgb="FFFFC7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6609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C1" colorId="64" zoomScale="140" zoomScaleNormal="140" zoomScalePageLayoutView="100" workbookViewId="0">
      <selection pane="topLeft" activeCell="B11" activeCellId="0" sqref="B11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8.76"/>
    <col collapsed="false" customWidth="true" hidden="false" outlineLevel="0" max="2" min="2" style="1" width="14.82"/>
    <col collapsed="false" customWidth="true" hidden="false" outlineLevel="0" max="3" min="3" style="1" width="8.99"/>
    <col collapsed="false" customWidth="true" hidden="false" outlineLevel="0" max="4" min="4" style="1" width="22.7"/>
    <col collapsed="false" customWidth="true" hidden="false" outlineLevel="0" max="5" min="5" style="1" width="18.06"/>
    <col collapsed="false" customWidth="true" hidden="false" outlineLevel="0" max="6" min="6" style="1" width="21.13"/>
    <col collapsed="false" customWidth="true" hidden="false" outlineLevel="0" max="7" min="7" style="1" width="21.21"/>
    <col collapsed="false" customWidth="true" hidden="false" outlineLevel="0" max="8" min="8" style="1" width="19.16"/>
    <col collapsed="false" customWidth="true" hidden="false" outlineLevel="0" max="9" min="9" style="1" width="27.27"/>
    <col collapsed="false" customWidth="true" hidden="false" outlineLevel="0" max="10" min="10" style="1" width="15.85"/>
    <col collapsed="false" customWidth="false" hidden="false" outlineLevel="0" max="16384" min="11" style="1" width="9.14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3.8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13.8" hidden="false" customHeight="false" outlineLevel="0" collapsed="false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13.8" hidden="false" customHeight="false" outlineLevel="0" collapsed="false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</row>
    <row r="6" customFormat="false" ht="13.8" hidden="false" customHeight="false" outlineLevel="0" collapsed="false">
      <c r="A6" s="1" t="s">
        <v>12</v>
      </c>
      <c r="B6" s="1" t="s">
        <v>13</v>
      </c>
      <c r="C6" s="1" t="s">
        <v>14</v>
      </c>
      <c r="D6" s="6" t="n">
        <v>10000000</v>
      </c>
      <c r="E6" s="1" t="s">
        <v>15</v>
      </c>
      <c r="F6" s="6" t="n">
        <v>7000000</v>
      </c>
      <c r="G6" s="6" t="n">
        <v>12000000</v>
      </c>
      <c r="H6" s="7" t="n">
        <f aca="false">D6/G6*100</f>
        <v>83.3333333333333</v>
      </c>
      <c r="I6" s="7" t="n">
        <v>1.2</v>
      </c>
      <c r="J6" s="1" t="s">
        <v>16</v>
      </c>
    </row>
    <row r="7" customFormat="false" ht="13.8" hidden="false" customHeight="false" outlineLevel="0" collapsed="false">
      <c r="A7" s="1" t="s">
        <v>17</v>
      </c>
      <c r="B7" s="1" t="s">
        <v>13</v>
      </c>
      <c r="C7" s="1" t="s">
        <v>18</v>
      </c>
      <c r="D7" s="6" t="n">
        <v>5000000</v>
      </c>
      <c r="E7" s="1" t="s">
        <v>19</v>
      </c>
      <c r="F7" s="6" t="n">
        <v>6000000</v>
      </c>
      <c r="G7" s="6" t="n">
        <v>5000000</v>
      </c>
      <c r="H7" s="7" t="n">
        <f aca="false">D7/G7*100</f>
        <v>100</v>
      </c>
      <c r="I7" s="7" t="n">
        <v>3.8</v>
      </c>
      <c r="J7" s="1" t="s">
        <v>19</v>
      </c>
    </row>
    <row r="8" customFormat="false" ht="13.8" hidden="false" customHeight="false" outlineLevel="0" collapsed="false">
      <c r="A8" s="1" t="s">
        <v>20</v>
      </c>
      <c r="B8" s="1" t="s">
        <v>13</v>
      </c>
      <c r="C8" s="1" t="s">
        <v>21</v>
      </c>
      <c r="D8" s="6" t="n">
        <v>15000000</v>
      </c>
      <c r="E8" s="1" t="s">
        <v>22</v>
      </c>
      <c r="F8" s="6" t="n">
        <v>0</v>
      </c>
      <c r="G8" s="6" t="n">
        <v>20000000</v>
      </c>
      <c r="H8" s="7" t="n">
        <f aca="false">D8/G8*100</f>
        <v>75</v>
      </c>
      <c r="I8" s="7" t="n">
        <v>0.5</v>
      </c>
      <c r="J8" s="1" t="s">
        <v>23</v>
      </c>
    </row>
    <row r="9" customFormat="false" ht="13.8" hidden="false" customHeight="false" outlineLevel="0" collapsed="false">
      <c r="A9" s="1" t="s">
        <v>24</v>
      </c>
      <c r="B9" s="1" t="s">
        <v>25</v>
      </c>
      <c r="C9" s="1" t="s">
        <v>26</v>
      </c>
      <c r="D9" s="6" t="n">
        <v>500000</v>
      </c>
      <c r="E9" s="1" t="s">
        <v>27</v>
      </c>
      <c r="F9" s="6" t="n">
        <v>300000</v>
      </c>
      <c r="G9" s="6" t="n">
        <v>600000</v>
      </c>
      <c r="H9" s="7" t="n">
        <f aca="false">D9/G9*100</f>
        <v>83.3333333333333</v>
      </c>
      <c r="I9" s="7" t="n">
        <v>5.5</v>
      </c>
      <c r="J9" s="1" t="s">
        <v>28</v>
      </c>
    </row>
    <row r="10" customFormat="false" ht="13.8" hidden="false" customHeight="false" outlineLevel="0" collapsed="false">
      <c r="A10" s="1" t="s">
        <v>29</v>
      </c>
      <c r="B10" s="1" t="s">
        <v>25</v>
      </c>
      <c r="C10" s="1" t="s">
        <v>26</v>
      </c>
      <c r="D10" s="6" t="n">
        <v>800000</v>
      </c>
      <c r="E10" s="1" t="s">
        <v>19</v>
      </c>
      <c r="F10" s="6" t="n">
        <v>900000</v>
      </c>
      <c r="G10" s="6" t="n">
        <v>1000000</v>
      </c>
      <c r="H10" s="7" t="n">
        <f aca="false">D10/G10*100</f>
        <v>80</v>
      </c>
      <c r="I10" s="7" t="n">
        <v>5.5</v>
      </c>
      <c r="J10" s="1" t="s">
        <v>30</v>
      </c>
    </row>
    <row r="11" customFormat="false" ht="13.8" hidden="false" customHeight="false" outlineLevel="0" collapsed="false">
      <c r="A11" s="1" t="s">
        <v>31</v>
      </c>
      <c r="B11" s="1" t="s">
        <v>25</v>
      </c>
      <c r="C11" s="1" t="s">
        <v>18</v>
      </c>
      <c r="D11" s="6" t="n">
        <v>1200000</v>
      </c>
      <c r="E11" s="1" t="s">
        <v>15</v>
      </c>
      <c r="F11" s="6" t="n">
        <v>800000</v>
      </c>
      <c r="G11" s="6" t="n">
        <v>1500000</v>
      </c>
      <c r="H11" s="7" t="n">
        <f aca="false">D11/G11*100</f>
        <v>80</v>
      </c>
      <c r="I11" s="7" t="n">
        <v>3.8</v>
      </c>
      <c r="J11" s="1" t="s">
        <v>16</v>
      </c>
    </row>
    <row r="12" customFormat="false" ht="13.8" hidden="false" customHeight="false" outlineLevel="0" collapsed="false">
      <c r="A12" s="1" t="s">
        <v>32</v>
      </c>
      <c r="B12" s="1" t="s">
        <v>33</v>
      </c>
      <c r="C12" s="1" t="s">
        <v>34</v>
      </c>
      <c r="D12" s="6" t="n">
        <v>300000</v>
      </c>
      <c r="E12" s="1" t="s">
        <v>35</v>
      </c>
      <c r="F12" s="6" t="n">
        <v>360000</v>
      </c>
      <c r="G12" s="6" t="n">
        <v>300000</v>
      </c>
      <c r="H12" s="7" t="n">
        <f aca="false">D12/G12*100</f>
        <v>100</v>
      </c>
      <c r="I12" s="7" t="n">
        <v>2</v>
      </c>
      <c r="J12" s="1" t="s">
        <v>36</v>
      </c>
    </row>
    <row r="13" customFormat="false" ht="13.8" hidden="false" customHeight="false" outlineLevel="0" collapsed="false">
      <c r="A13" s="1" t="s">
        <v>37</v>
      </c>
      <c r="B13" s="1" t="s">
        <v>33</v>
      </c>
      <c r="C13" s="1" t="s">
        <v>34</v>
      </c>
      <c r="D13" s="6" t="n">
        <v>450000</v>
      </c>
      <c r="E13" s="1" t="s">
        <v>35</v>
      </c>
      <c r="F13" s="6" t="n">
        <v>540000</v>
      </c>
      <c r="G13" s="6" t="n">
        <v>450000</v>
      </c>
      <c r="H13" s="7" t="n">
        <f aca="false">D13/G13*100</f>
        <v>100</v>
      </c>
      <c r="I13" s="7" t="n">
        <v>2</v>
      </c>
      <c r="J13" s="1" t="s">
        <v>36</v>
      </c>
    </row>
    <row r="14" customFormat="false" ht="13.8" hidden="false" customHeight="false" outlineLevel="0" collapsed="false">
      <c r="A14" s="1" t="s">
        <v>38</v>
      </c>
      <c r="B14" s="1" t="s">
        <v>33</v>
      </c>
      <c r="C14" s="1" t="s">
        <v>39</v>
      </c>
      <c r="D14" s="6" t="n">
        <v>250000</v>
      </c>
      <c r="E14" s="1" t="s">
        <v>35</v>
      </c>
      <c r="F14" s="6" t="n">
        <v>200000</v>
      </c>
      <c r="G14" s="6" t="n">
        <v>250000</v>
      </c>
      <c r="H14" s="7" t="n">
        <f aca="false">D14/G14*100</f>
        <v>100</v>
      </c>
      <c r="I14" s="7" t="n">
        <v>8</v>
      </c>
      <c r="J14" s="1" t="s">
        <v>36</v>
      </c>
    </row>
    <row r="15" customFormat="false" ht="13.8" hidden="false" customHeight="false" outlineLevel="0" collapsed="false">
      <c r="A15" s="1" t="s">
        <v>40</v>
      </c>
      <c r="B15" s="1" t="s">
        <v>13</v>
      </c>
      <c r="C15" s="1" t="s">
        <v>41</v>
      </c>
      <c r="D15" s="6" t="n">
        <v>20000000</v>
      </c>
      <c r="E15" s="1" t="s">
        <v>42</v>
      </c>
      <c r="F15" s="6" t="n">
        <v>21000000</v>
      </c>
      <c r="G15" s="6" t="n">
        <v>25000000</v>
      </c>
      <c r="H15" s="7" t="n">
        <f aca="false">D15/G15*100</f>
        <v>80</v>
      </c>
      <c r="I15" s="7" t="n">
        <v>0.05</v>
      </c>
      <c r="J15" s="1" t="s">
        <v>43</v>
      </c>
    </row>
  </sheetData>
  <mergeCells count="2">
    <mergeCell ref="A1:J1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"/>
  <sheetViews>
    <sheetView showFormulas="false" showGridLines="true" showRowColHeaders="true" showZeros="true" rightToLeft="false" tabSelected="false" showOutlineSymbols="true" defaultGridColor="true" view="normal" topLeftCell="A22" colorId="64" zoomScale="140" zoomScaleNormal="140" zoomScalePageLayoutView="100" workbookViewId="0">
      <selection pane="topLeft" activeCell="A32" activeCellId="0" sqref="A32"/>
    </sheetView>
  </sheetViews>
  <sheetFormatPr defaultColWidth="9.14453125" defaultRowHeight="13.8" zeroHeight="false" outlineLevelRow="0" outlineLevelCol="0"/>
  <cols>
    <col collapsed="false" customWidth="true" hidden="false" outlineLevel="0" max="2" min="1" style="1" width="13.17"/>
    <col collapsed="false" customWidth="true" hidden="false" outlineLevel="0" max="3" min="3" style="1" width="15.53"/>
    <col collapsed="false" customWidth="true" hidden="false" outlineLevel="0" max="4" min="4" style="1" width="12.23"/>
    <col collapsed="false" customWidth="true" hidden="false" outlineLevel="0" max="5" min="5" style="1" width="24.75"/>
    <col collapsed="false" customWidth="true" hidden="false" outlineLevel="0" max="6" min="6" style="1" width="15.3"/>
    <col collapsed="false" customWidth="true" hidden="false" outlineLevel="0" max="7" min="7" style="1" width="16.17"/>
    <col collapsed="false" customWidth="true" hidden="false" outlineLevel="0" max="8" min="8" style="1" width="17.34"/>
    <col collapsed="false" customWidth="true" hidden="false" outlineLevel="0" max="10" min="9" style="1" width="17.82"/>
    <col collapsed="false" customWidth="true" hidden="false" outlineLevel="0" max="11" min="11" style="1" width="21.68"/>
    <col collapsed="false" customWidth="true" hidden="false" outlineLevel="0" max="12" min="12" style="1" width="21.92"/>
    <col collapsed="false" customWidth="true" hidden="false" outlineLevel="0" max="13" min="13" style="1" width="14.51"/>
    <col collapsed="false" customWidth="true" hidden="false" outlineLevel="0" max="14" min="14" style="1" width="18.37"/>
    <col collapsed="false" customWidth="true" hidden="false" outlineLevel="0" max="15" min="15" style="1" width="18.61"/>
    <col collapsed="false" customWidth="false" hidden="false" outlineLevel="0" max="16384" min="16" style="1" width="9.14"/>
  </cols>
  <sheetData>
    <row r="1" customFormat="false" ht="17.35" hidden="false" customHeight="false" outlineLevel="0" collapsed="false">
      <c r="A1" s="2" t="s">
        <v>44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3.8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13.8" hidden="false" customHeight="false" outlineLevel="0" collapsed="false">
      <c r="A3" s="4" t="s">
        <v>45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13.8" hidden="false" customHeight="false" outlineLevel="0" collapsed="false">
      <c r="A5" s="5" t="s">
        <v>46</v>
      </c>
      <c r="B5" s="5" t="s">
        <v>47</v>
      </c>
      <c r="C5" s="5" t="s">
        <v>48</v>
      </c>
      <c r="D5" s="5" t="s">
        <v>49</v>
      </c>
      <c r="E5" s="5" t="s">
        <v>50</v>
      </c>
      <c r="F5" s="5" t="s">
        <v>51</v>
      </c>
      <c r="G5" s="5" t="s">
        <v>52</v>
      </c>
      <c r="H5" s="5" t="s">
        <v>53</v>
      </c>
      <c r="I5" s="5" t="s">
        <v>54</v>
      </c>
      <c r="J5" s="5" t="s">
        <v>55</v>
      </c>
      <c r="K5" s="5" t="s">
        <v>56</v>
      </c>
      <c r="L5" s="5" t="s">
        <v>57</v>
      </c>
      <c r="M5" s="5" t="s">
        <v>58</v>
      </c>
      <c r="N5" s="5" t="s">
        <v>59</v>
      </c>
      <c r="O5" s="5" t="s">
        <v>60</v>
      </c>
    </row>
    <row r="6" customFormat="false" ht="13.8" hidden="false" customHeight="false" outlineLevel="0" collapsed="false">
      <c r="A6" s="1" t="s">
        <v>61</v>
      </c>
      <c r="B6" s="1" t="s">
        <v>62</v>
      </c>
      <c r="C6" s="1" t="s">
        <v>14</v>
      </c>
      <c r="D6" s="1" t="s">
        <v>18</v>
      </c>
      <c r="E6" s="1" t="n">
        <v>180</v>
      </c>
      <c r="F6" s="1" t="s">
        <v>63</v>
      </c>
      <c r="G6" s="6" t="n">
        <v>10000000</v>
      </c>
      <c r="H6" s="8" t="n">
        <v>5.5</v>
      </c>
      <c r="I6" s="1" t="n">
        <v>5</v>
      </c>
      <c r="J6" s="9" t="n">
        <f aca="false">3.5+D26/100</f>
        <v>5.45</v>
      </c>
      <c r="K6" s="9" t="n">
        <f aca="false">-PV(J6/100,I6,H6,100)</f>
        <v>100.213807294344</v>
      </c>
    </row>
    <row r="7" customFormat="false" ht="13.8" hidden="false" customHeight="false" outlineLevel="0" collapsed="false">
      <c r="A7" s="1" t="s">
        <v>64</v>
      </c>
      <c r="B7" s="1" t="s">
        <v>65</v>
      </c>
      <c r="C7" s="1" t="s">
        <v>18</v>
      </c>
      <c r="D7" s="1" t="s">
        <v>14</v>
      </c>
      <c r="E7" s="1" t="n">
        <v>320</v>
      </c>
      <c r="F7" s="1" t="s">
        <v>66</v>
      </c>
      <c r="G7" s="6" t="n">
        <v>5000000</v>
      </c>
      <c r="H7" s="8" t="n">
        <v>7</v>
      </c>
      <c r="I7" s="1" t="n">
        <v>7</v>
      </c>
      <c r="J7" s="9" t="n">
        <f aca="false">3.5+E27/100</f>
        <v>8</v>
      </c>
      <c r="K7" s="9" t="n">
        <f aca="false">-PV(J7/100,I7,H7,100)</f>
        <v>94.7936299407767</v>
      </c>
    </row>
    <row r="8" customFormat="false" ht="13.8" hidden="false" customHeight="false" outlineLevel="0" collapsed="false">
      <c r="A8" s="1" t="s">
        <v>67</v>
      </c>
      <c r="B8" s="1" t="s">
        <v>68</v>
      </c>
      <c r="C8" s="1" t="s">
        <v>21</v>
      </c>
      <c r="D8" s="1" t="s">
        <v>21</v>
      </c>
      <c r="E8" s="1" t="n">
        <v>85</v>
      </c>
      <c r="F8" s="1" t="s">
        <v>69</v>
      </c>
      <c r="G8" s="6" t="n">
        <v>8000000</v>
      </c>
      <c r="H8" s="8" t="n">
        <v>4</v>
      </c>
      <c r="I8" s="1" t="n">
        <v>3</v>
      </c>
      <c r="J8" s="9" t="n">
        <f aca="false">3.5+C25/100</f>
        <v>4.2</v>
      </c>
      <c r="K8" s="9" t="n">
        <f aca="false">-PV(J8/100,I8,H8,100)</f>
        <v>99.4470818892001</v>
      </c>
    </row>
    <row r="9" customFormat="false" ht="13.8" hidden="false" customHeight="false" outlineLevel="0" collapsed="false">
      <c r="A9" s="1" t="s">
        <v>70</v>
      </c>
      <c r="B9" s="1" t="s">
        <v>71</v>
      </c>
      <c r="C9" s="1" t="s">
        <v>14</v>
      </c>
      <c r="D9" s="1" t="s">
        <v>14</v>
      </c>
      <c r="E9" s="1" t="n">
        <v>175</v>
      </c>
      <c r="F9" s="1" t="s">
        <v>69</v>
      </c>
      <c r="G9" s="6" t="n">
        <v>12000000</v>
      </c>
      <c r="H9" s="8" t="n">
        <v>5.8</v>
      </c>
      <c r="I9" s="1" t="n">
        <v>5</v>
      </c>
      <c r="J9" s="9" t="n">
        <f aca="false">3.5+D26/100</f>
        <v>5.45</v>
      </c>
      <c r="K9" s="9" t="n">
        <f aca="false">-PV(J9/100,I9,H9,100)</f>
        <v>101.496651060408</v>
      </c>
    </row>
    <row r="10" customFormat="false" ht="13.8" hidden="false" customHeight="false" outlineLevel="0" collapsed="false">
      <c r="A10" s="1" t="s">
        <v>72</v>
      </c>
      <c r="B10" s="1" t="s">
        <v>73</v>
      </c>
      <c r="C10" s="1" t="s">
        <v>21</v>
      </c>
      <c r="D10" s="1" t="s">
        <v>74</v>
      </c>
      <c r="E10" s="1" t="n">
        <v>75</v>
      </c>
      <c r="F10" s="1" t="s">
        <v>66</v>
      </c>
      <c r="G10" s="6" t="n">
        <v>6000000</v>
      </c>
      <c r="H10" s="8" t="n">
        <v>4.2</v>
      </c>
      <c r="I10" s="1" t="n">
        <v>10</v>
      </c>
      <c r="J10" s="9" t="n">
        <f aca="false">3.5+F25/100</f>
        <v>4.85</v>
      </c>
      <c r="K10" s="9" t="n">
        <f aca="false">-PV(J10/100,I10,H10,100)</f>
        <v>94.9441089818422</v>
      </c>
    </row>
    <row r="11" customFormat="false" ht="13.8" hidden="false" customHeight="false" outlineLevel="0" collapsed="false">
      <c r="A11" s="1" t="s">
        <v>75</v>
      </c>
      <c r="B11" s="1" t="s">
        <v>76</v>
      </c>
      <c r="C11" s="1" t="s">
        <v>14</v>
      </c>
      <c r="D11" s="1" t="s">
        <v>77</v>
      </c>
      <c r="E11" s="1" t="n">
        <v>425</v>
      </c>
      <c r="F11" s="1" t="s">
        <v>63</v>
      </c>
      <c r="G11" s="6" t="n">
        <v>15000000</v>
      </c>
      <c r="H11" s="8" t="n">
        <v>6.2</v>
      </c>
      <c r="I11" s="1" t="n">
        <v>5</v>
      </c>
      <c r="J11" s="9" t="n">
        <f aca="false">3.5+D26/100</f>
        <v>5.45</v>
      </c>
      <c r="K11" s="9" t="n">
        <f aca="false">-PV(J11/100,I11,H11,100)</f>
        <v>103.207109415161</v>
      </c>
    </row>
    <row r="12" customFormat="false" ht="13.8" hidden="false" customHeight="false" outlineLevel="0" collapsed="false">
      <c r="A12" s="1" t="s">
        <v>78</v>
      </c>
      <c r="B12" s="1" t="s">
        <v>79</v>
      </c>
      <c r="C12" s="1" t="s">
        <v>74</v>
      </c>
      <c r="D12" s="1" t="s">
        <v>74</v>
      </c>
      <c r="E12" s="1" t="n">
        <v>45</v>
      </c>
      <c r="F12" s="1" t="s">
        <v>69</v>
      </c>
      <c r="G12" s="6" t="n">
        <v>10000000</v>
      </c>
      <c r="H12" s="8" t="n">
        <v>3.5</v>
      </c>
      <c r="I12" s="1" t="n">
        <v>7</v>
      </c>
      <c r="J12" s="9" t="n">
        <f aca="false">3.5+E24/100</f>
        <v>4.2</v>
      </c>
      <c r="K12" s="9" t="n">
        <f aca="false">-PV(J12/100,I12,H12,100)</f>
        <v>95.8294398040115</v>
      </c>
    </row>
    <row r="13" customFormat="false" ht="13.8" hidden="false" customHeight="false" outlineLevel="0" collapsed="false">
      <c r="A13" s="1" t="s">
        <v>80</v>
      </c>
      <c r="B13" s="1" t="s">
        <v>81</v>
      </c>
      <c r="C13" s="1" t="s">
        <v>18</v>
      </c>
      <c r="D13" s="1" t="s">
        <v>18</v>
      </c>
      <c r="E13" s="1" t="n">
        <v>330</v>
      </c>
      <c r="F13" s="1" t="s">
        <v>69</v>
      </c>
      <c r="G13" s="6" t="n">
        <v>7000000</v>
      </c>
      <c r="H13" s="8" t="n">
        <v>7.5</v>
      </c>
      <c r="I13" s="1" t="n">
        <v>7</v>
      </c>
      <c r="J13" s="9" t="n">
        <f aca="false">3.5+E27/100</f>
        <v>8</v>
      </c>
      <c r="K13" s="9" t="n">
        <f aca="false">-PV(J13/100,I13,H13,100)</f>
        <v>97.3968149703883</v>
      </c>
    </row>
    <row r="16" customFormat="false" ht="17.25" hidden="false" customHeight="false" outlineLevel="0" collapsed="false">
      <c r="A16" s="2" t="s">
        <v>82</v>
      </c>
      <c r="B16" s="2"/>
      <c r="C16" s="2"/>
      <c r="D16" s="2"/>
      <c r="E16" s="2"/>
      <c r="F16" s="2"/>
      <c r="G16" s="2"/>
    </row>
    <row r="17" customFormat="false" ht="13.5" hidden="false" customHeight="false" outlineLevel="0" collapsed="false">
      <c r="A17" s="3"/>
      <c r="B17" s="3"/>
      <c r="C17" s="3"/>
      <c r="D17" s="3"/>
      <c r="E17" s="3"/>
      <c r="F17" s="3"/>
      <c r="G17" s="3"/>
    </row>
    <row r="18" customFormat="false" ht="13.5" hidden="false" customHeight="false" outlineLevel="0" collapsed="false">
      <c r="A18" s="4" t="s">
        <v>83</v>
      </c>
      <c r="B18" s="4"/>
      <c r="C18" s="4"/>
      <c r="D18" s="4"/>
      <c r="E18" s="4"/>
      <c r="F18" s="4"/>
      <c r="G18" s="4"/>
    </row>
    <row r="19" customFormat="false" ht="13.5" hidden="false" customHeight="false" outlineLevel="0" collapsed="false">
      <c r="A19" s="3"/>
      <c r="B19" s="3"/>
      <c r="C19" s="3"/>
      <c r="D19" s="3"/>
      <c r="E19" s="3"/>
      <c r="F19" s="3"/>
      <c r="G19" s="3"/>
    </row>
    <row r="20" customFormat="false" ht="13.5" hidden="false" customHeight="false" outlineLevel="0" collapsed="false">
      <c r="A20" s="10" t="s">
        <v>84</v>
      </c>
      <c r="B20" s="10"/>
      <c r="C20" s="10"/>
      <c r="D20" s="10"/>
      <c r="E20" s="10"/>
      <c r="F20" s="10"/>
      <c r="G20" s="10"/>
    </row>
    <row r="21" customFormat="false" ht="13.5" hidden="false" customHeight="false" outlineLevel="0" collapsed="false"/>
    <row r="22" customFormat="false" ht="13.5" hidden="false" customHeight="false" outlineLevel="0" collapsed="false">
      <c r="A22" s="5" t="s">
        <v>4</v>
      </c>
      <c r="B22" s="5" t="s">
        <v>85</v>
      </c>
      <c r="C22" s="5" t="s">
        <v>86</v>
      </c>
      <c r="D22" s="5" t="s">
        <v>87</v>
      </c>
      <c r="E22" s="5" t="s">
        <v>88</v>
      </c>
      <c r="F22" s="5" t="s">
        <v>89</v>
      </c>
    </row>
    <row r="23" customFormat="false" ht="13.5" hidden="false" customHeight="false" outlineLevel="0" collapsed="false">
      <c r="A23" s="1" t="s">
        <v>41</v>
      </c>
      <c r="B23" s="1" t="n">
        <v>15</v>
      </c>
      <c r="C23" s="1" t="n">
        <v>25</v>
      </c>
      <c r="D23" s="1" t="n">
        <v>35</v>
      </c>
      <c r="E23" s="1" t="n">
        <v>45</v>
      </c>
      <c r="F23" s="1" t="n">
        <v>55</v>
      </c>
    </row>
    <row r="24" customFormat="false" ht="13.5" hidden="false" customHeight="false" outlineLevel="0" collapsed="false">
      <c r="A24" s="1" t="s">
        <v>74</v>
      </c>
      <c r="B24" s="1" t="n">
        <v>25</v>
      </c>
      <c r="C24" s="1" t="n">
        <v>40</v>
      </c>
      <c r="D24" s="1" t="n">
        <v>55</v>
      </c>
      <c r="E24" s="1" t="n">
        <v>70</v>
      </c>
      <c r="F24" s="1" t="n">
        <v>85</v>
      </c>
    </row>
    <row r="25" customFormat="false" ht="13.5" hidden="false" customHeight="false" outlineLevel="0" collapsed="false">
      <c r="A25" s="1" t="s">
        <v>21</v>
      </c>
      <c r="B25" s="1" t="n">
        <v>45</v>
      </c>
      <c r="C25" s="1" t="n">
        <v>70</v>
      </c>
      <c r="D25" s="1" t="n">
        <v>95</v>
      </c>
      <c r="E25" s="1" t="n">
        <v>115</v>
      </c>
      <c r="F25" s="1" t="n">
        <v>135</v>
      </c>
    </row>
    <row r="26" customFormat="false" ht="13.5" hidden="false" customHeight="false" outlineLevel="0" collapsed="false">
      <c r="A26" s="1" t="s">
        <v>14</v>
      </c>
      <c r="B26" s="1" t="n">
        <v>120</v>
      </c>
      <c r="C26" s="1" t="n">
        <v>165</v>
      </c>
      <c r="D26" s="1" t="n">
        <v>195</v>
      </c>
      <c r="E26" s="1" t="n">
        <v>225</v>
      </c>
      <c r="F26" s="1" t="n">
        <v>255</v>
      </c>
    </row>
    <row r="27" customFormat="false" ht="13.5" hidden="false" customHeight="false" outlineLevel="0" collapsed="false">
      <c r="A27" s="1" t="s">
        <v>18</v>
      </c>
      <c r="B27" s="1" t="n">
        <v>280</v>
      </c>
      <c r="C27" s="1" t="n">
        <v>350</v>
      </c>
      <c r="D27" s="1" t="n">
        <v>400</v>
      </c>
      <c r="E27" s="1" t="n">
        <v>450</v>
      </c>
      <c r="F27" s="1" t="n">
        <v>500</v>
      </c>
    </row>
    <row r="28" customFormat="false" ht="13.5" hidden="false" customHeight="false" outlineLevel="0" collapsed="false">
      <c r="A28" s="1" t="s">
        <v>77</v>
      </c>
      <c r="B28" s="1" t="n">
        <v>520</v>
      </c>
      <c r="C28" s="1" t="n">
        <v>650</v>
      </c>
      <c r="D28" s="1" t="n">
        <v>750</v>
      </c>
      <c r="E28" s="1" t="n">
        <v>850</v>
      </c>
      <c r="F28" s="1" t="n">
        <v>950</v>
      </c>
    </row>
    <row r="29" customFormat="false" ht="13.5" hidden="false" customHeight="false" outlineLevel="0" collapsed="false">
      <c r="A29" s="1" t="s">
        <v>90</v>
      </c>
      <c r="B29" s="1" t="n">
        <v>1200</v>
      </c>
      <c r="C29" s="1" t="n">
        <v>1500</v>
      </c>
      <c r="D29" s="1" t="n">
        <v>1800</v>
      </c>
      <c r="E29" s="1" t="n">
        <v>2100</v>
      </c>
      <c r="F29" s="1" t="n">
        <v>2400</v>
      </c>
    </row>
    <row r="32" customFormat="false" ht="13.8" hidden="false" customHeight="false" outlineLevel="0" collapsed="false">
      <c r="A32" s="0"/>
      <c r="B32" s="0"/>
      <c r="C32" s="0"/>
      <c r="D32" s="0"/>
      <c r="E32" s="0"/>
      <c r="F32" s="0"/>
      <c r="G32" s="0"/>
      <c r="H32" s="0"/>
      <c r="I32" s="0"/>
    </row>
    <row r="33" customFormat="false" ht="13.8" hidden="false" customHeight="false" outlineLevel="0" collapsed="false">
      <c r="A33" s="0"/>
      <c r="B33" s="0"/>
      <c r="C33" s="0"/>
      <c r="D33" s="0"/>
      <c r="E33" s="0"/>
      <c r="F33" s="0"/>
      <c r="G33" s="0"/>
      <c r="H33" s="0"/>
      <c r="I33" s="0"/>
    </row>
    <row r="34" customFormat="false" ht="13.8" hidden="false" customHeight="false" outlineLevel="0" collapsed="false">
      <c r="A34" s="0"/>
      <c r="B34" s="0"/>
      <c r="C34" s="0"/>
      <c r="D34" s="0"/>
      <c r="E34" s="0"/>
      <c r="F34" s="0"/>
      <c r="G34" s="0"/>
      <c r="H34" s="0"/>
      <c r="I34" s="0"/>
    </row>
    <row r="35" customFormat="false" ht="13.8" hidden="false" customHeight="false" outlineLevel="0" collapsed="false">
      <c r="A35" s="0"/>
      <c r="B35" s="0"/>
      <c r="C35" s="0"/>
      <c r="D35" s="0"/>
      <c r="E35" s="0"/>
      <c r="F35" s="0"/>
      <c r="G35" s="0"/>
      <c r="H35" s="0"/>
      <c r="I35" s="0"/>
    </row>
    <row r="36" customFormat="false" ht="13.8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I36" s="0"/>
    </row>
    <row r="37" customFormat="false" ht="13.8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I37" s="0"/>
    </row>
    <row r="38" customFormat="false" ht="13.8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</row>
    <row r="39" customFormat="false" ht="13.8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I39" s="0"/>
    </row>
    <row r="40" customFormat="false" ht="13.8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I40" s="0"/>
    </row>
    <row r="41" customFormat="false" ht="13.8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I41" s="0"/>
    </row>
    <row r="42" customFormat="false" ht="13.8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I42" s="0"/>
    </row>
    <row r="43" customFormat="false" ht="13.8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I43" s="0"/>
    </row>
    <row r="44" customFormat="false" ht="13.8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I44" s="0"/>
    </row>
    <row r="45" customFormat="false" ht="13.8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</row>
  </sheetData>
  <mergeCells count="5">
    <mergeCell ref="A1:J1"/>
    <mergeCell ref="A3:J3"/>
    <mergeCell ref="A16:G16"/>
    <mergeCell ref="A18:G18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K16" activeCellId="0" sqref="K16"/>
    </sheetView>
  </sheetViews>
  <sheetFormatPr defaultColWidth="9.14453125" defaultRowHeight="13.8" zeroHeight="false" outlineLevelRow="0" outlineLevelCol="0"/>
  <cols>
    <col collapsed="false" customWidth="true" hidden="false" outlineLevel="0" max="1" min="1" style="3" width="13.17"/>
    <col collapsed="false" customWidth="true" hidden="false" outlineLevel="0" max="2" min="2" style="3" width="7.89"/>
    <col collapsed="false" customWidth="true" hidden="false" outlineLevel="0" max="4" min="3" style="3" width="6.87"/>
    <col collapsed="false" customWidth="true" hidden="false" outlineLevel="0" max="5" min="5" style="3" width="8.37"/>
    <col collapsed="false" customWidth="true" hidden="false" outlineLevel="0" max="6" min="6" style="3" width="6.95"/>
    <col collapsed="false" customWidth="true" hidden="false" outlineLevel="0" max="7" min="7" style="3" width="6.87"/>
    <col collapsed="false" customWidth="true" hidden="false" outlineLevel="0" max="8" min="8" style="3" width="8.13"/>
    <col collapsed="false" customWidth="true" hidden="false" outlineLevel="0" max="9" min="9" style="3" width="8.05"/>
    <col collapsed="false" customWidth="false" hidden="false" outlineLevel="0" max="16384" min="10" style="3" width="9.14"/>
  </cols>
  <sheetData>
    <row r="1" customFormat="false" ht="17.35" hidden="false" customHeight="false" outlineLevel="0" collapsed="false">
      <c r="A1" s="2" t="s">
        <v>91</v>
      </c>
      <c r="B1" s="2"/>
      <c r="C1" s="2"/>
      <c r="D1" s="2"/>
      <c r="E1" s="2"/>
      <c r="F1" s="2"/>
      <c r="G1" s="2"/>
      <c r="H1" s="2"/>
      <c r="I1" s="2"/>
    </row>
    <row r="3" customFormat="false" ht="13.8" hidden="false" customHeight="false" outlineLevel="0" collapsed="false">
      <c r="A3" s="11" t="s">
        <v>92</v>
      </c>
      <c r="B3" s="11"/>
      <c r="C3" s="11"/>
      <c r="D3" s="11"/>
      <c r="E3" s="11"/>
      <c r="F3" s="11"/>
      <c r="G3" s="11"/>
      <c r="H3" s="11"/>
      <c r="I3" s="11"/>
    </row>
    <row r="5" customFormat="false" ht="13.8" hidden="false" customHeight="false" outlineLevel="0" collapsed="false">
      <c r="A5" s="12" t="s">
        <v>4</v>
      </c>
      <c r="B5" s="12" t="s">
        <v>93</v>
      </c>
      <c r="C5" s="12" t="s">
        <v>94</v>
      </c>
      <c r="D5" s="12" t="s">
        <v>95</v>
      </c>
      <c r="E5" s="12" t="s">
        <v>96</v>
      </c>
      <c r="F5" s="12" t="s">
        <v>97</v>
      </c>
      <c r="G5" s="12" t="s">
        <v>98</v>
      </c>
      <c r="H5" s="12" t="s">
        <v>99</v>
      </c>
      <c r="I5" s="12" t="s">
        <v>100</v>
      </c>
    </row>
    <row r="6" customFormat="false" ht="13.8" hidden="false" customHeight="false" outlineLevel="0" collapsed="false">
      <c r="A6" s="13" t="s">
        <v>41</v>
      </c>
      <c r="B6" s="9" t="n">
        <v>0</v>
      </c>
      <c r="C6" s="9" t="n">
        <v>0.03</v>
      </c>
      <c r="D6" s="9" t="n">
        <v>0.13</v>
      </c>
      <c r="E6" s="9" t="n">
        <v>0.24</v>
      </c>
      <c r="F6" s="9" t="n">
        <v>0.34</v>
      </c>
      <c r="G6" s="9" t="n">
        <v>0.51</v>
      </c>
      <c r="H6" s="9" t="n">
        <v>0.7</v>
      </c>
      <c r="I6" s="9" t="n">
        <v>0.9</v>
      </c>
    </row>
    <row r="7" customFormat="false" ht="13.8" hidden="false" customHeight="false" outlineLevel="0" collapsed="false">
      <c r="A7" s="13" t="s">
        <v>74</v>
      </c>
      <c r="B7" s="9" t="n">
        <v>0.02</v>
      </c>
      <c r="C7" s="9" t="n">
        <v>0.06</v>
      </c>
      <c r="D7" s="9" t="n">
        <v>0.11</v>
      </c>
      <c r="E7" s="9" t="n">
        <v>0.21</v>
      </c>
      <c r="F7" s="9" t="n">
        <v>0.3</v>
      </c>
      <c r="G7" s="9" t="n">
        <v>0.49</v>
      </c>
      <c r="H7" s="9" t="n">
        <v>0.7</v>
      </c>
      <c r="I7" s="9" t="n">
        <v>0.99</v>
      </c>
    </row>
    <row r="8" customFormat="false" ht="13.8" hidden="false" customHeight="false" outlineLevel="0" collapsed="false">
      <c r="A8" s="13" t="s">
        <v>21</v>
      </c>
      <c r="B8" s="9" t="n">
        <v>0.05</v>
      </c>
      <c r="C8" s="9" t="n">
        <v>0.13</v>
      </c>
      <c r="D8" s="9" t="n">
        <v>0.22</v>
      </c>
      <c r="E8" s="9" t="n">
        <v>0.33</v>
      </c>
      <c r="F8" s="9" t="n">
        <v>0.46</v>
      </c>
      <c r="G8" s="9" t="n">
        <v>0.76</v>
      </c>
      <c r="H8" s="9" t="n">
        <v>1.2</v>
      </c>
      <c r="I8" s="9" t="n">
        <v>1.84</v>
      </c>
    </row>
    <row r="9" customFormat="false" ht="13.8" hidden="false" customHeight="false" outlineLevel="0" collapsed="false">
      <c r="A9" s="13" t="s">
        <v>14</v>
      </c>
      <c r="B9" s="9" t="n">
        <v>0.16</v>
      </c>
      <c r="C9" s="9" t="n">
        <v>0.43</v>
      </c>
      <c r="D9" s="9" t="n">
        <v>0.75</v>
      </c>
      <c r="E9" s="9" t="n">
        <v>1.14</v>
      </c>
      <c r="F9" s="9" t="n">
        <v>1.54</v>
      </c>
      <c r="G9" s="9" t="n">
        <v>2.27</v>
      </c>
      <c r="H9" s="9" t="n">
        <v>3.24</v>
      </c>
      <c r="I9" s="9" t="n">
        <v>4.54</v>
      </c>
    </row>
    <row r="10" customFormat="false" ht="13.8" hidden="false" customHeight="false" outlineLevel="0" collapsed="false">
      <c r="A10" s="13" t="s">
        <v>18</v>
      </c>
      <c r="B10" s="9" t="n">
        <v>0.63</v>
      </c>
      <c r="C10" s="9" t="n">
        <v>1.93</v>
      </c>
      <c r="D10" s="9" t="n">
        <v>3.46</v>
      </c>
      <c r="E10" s="9" t="n">
        <v>4.99</v>
      </c>
      <c r="F10" s="9" t="n">
        <v>6.43</v>
      </c>
      <c r="G10" s="9" t="n">
        <v>8.89</v>
      </c>
      <c r="H10" s="9" t="n">
        <v>11.64</v>
      </c>
      <c r="I10" s="9" t="n">
        <v>14.65</v>
      </c>
    </row>
    <row r="11" customFormat="false" ht="13.8" hidden="false" customHeight="false" outlineLevel="0" collapsed="false">
      <c r="A11" s="13" t="s">
        <v>77</v>
      </c>
      <c r="B11" s="9" t="n">
        <v>3.34</v>
      </c>
      <c r="C11" s="9" t="n">
        <v>7.8</v>
      </c>
      <c r="D11" s="9" t="n">
        <v>11.75</v>
      </c>
      <c r="E11" s="9" t="n">
        <v>14.89</v>
      </c>
      <c r="F11" s="9" t="n">
        <v>17.35</v>
      </c>
      <c r="G11" s="9" t="n">
        <v>20.99</v>
      </c>
      <c r="H11" s="9" t="n">
        <v>24.62</v>
      </c>
      <c r="I11" s="9" t="n">
        <v>28.24</v>
      </c>
    </row>
    <row r="12" customFormat="false" ht="13.8" hidden="false" customHeight="false" outlineLevel="0" collapsed="false">
      <c r="A12" s="13" t="s">
        <v>101</v>
      </c>
      <c r="B12" s="9" t="n">
        <v>28.3</v>
      </c>
      <c r="C12" s="9" t="n">
        <v>38.33</v>
      </c>
      <c r="D12" s="9" t="n">
        <v>43.42</v>
      </c>
      <c r="E12" s="9" t="n">
        <v>46.36</v>
      </c>
      <c r="F12" s="9" t="n">
        <v>48.58</v>
      </c>
      <c r="G12" s="9" t="n">
        <v>50.75</v>
      </c>
      <c r="H12" s="9" t="n">
        <v>52.76</v>
      </c>
      <c r="I12" s="9" t="n">
        <v>54.76</v>
      </c>
    </row>
    <row r="17" customFormat="false" ht="17.35" hidden="false" customHeight="false" outlineLevel="0" collapsed="false">
      <c r="A17" s="2" t="s">
        <v>102</v>
      </c>
      <c r="B17" s="2"/>
      <c r="C17" s="2"/>
      <c r="D17" s="2"/>
      <c r="E17" s="2"/>
      <c r="F17" s="2"/>
      <c r="G17" s="2"/>
      <c r="H17" s="2"/>
      <c r="I17" s="2"/>
    </row>
    <row r="19" customFormat="false" ht="13.8" hidden="false" customHeight="false" outlineLevel="0" collapsed="false">
      <c r="A19" s="4" t="s">
        <v>103</v>
      </c>
      <c r="B19" s="4"/>
      <c r="C19" s="4"/>
      <c r="D19" s="4"/>
      <c r="E19" s="4"/>
      <c r="F19" s="4"/>
      <c r="G19" s="4"/>
      <c r="H19" s="4"/>
      <c r="I19" s="4"/>
    </row>
    <row r="21" customFormat="false" ht="13.8" hidden="false" customHeight="false" outlineLevel="0" collapsed="false">
      <c r="A21" s="10" t="s">
        <v>104</v>
      </c>
      <c r="B21" s="10"/>
      <c r="C21" s="10"/>
      <c r="D21" s="10"/>
      <c r="E21" s="10"/>
      <c r="F21" s="10"/>
      <c r="G21" s="10"/>
      <c r="H21" s="10"/>
      <c r="I21" s="10"/>
    </row>
    <row r="22" customFormat="false" ht="13.8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13.8" hidden="false" customHeight="false" outlineLevel="0" collapsed="false">
      <c r="A23" s="5" t="s">
        <v>105</v>
      </c>
      <c r="B23" s="5" t="s">
        <v>106</v>
      </c>
      <c r="C23" s="5" t="s">
        <v>107</v>
      </c>
      <c r="D23" s="5" t="s">
        <v>108</v>
      </c>
      <c r="E23" s="5" t="s">
        <v>109</v>
      </c>
      <c r="F23" s="5" t="s">
        <v>110</v>
      </c>
      <c r="G23" s="5" t="s">
        <v>111</v>
      </c>
      <c r="H23" s="5" t="s">
        <v>112</v>
      </c>
      <c r="I23" s="5" t="s">
        <v>113</v>
      </c>
    </row>
    <row r="24" customFormat="false" ht="13.8" hidden="false" customHeight="false" outlineLevel="0" collapsed="false">
      <c r="A24" s="1" t="s">
        <v>41</v>
      </c>
      <c r="B24" s="9" t="n">
        <v>92</v>
      </c>
      <c r="C24" s="9" t="n">
        <v>7.5</v>
      </c>
      <c r="D24" s="9" t="n">
        <v>0.4</v>
      </c>
      <c r="E24" s="9" t="n">
        <v>0.08</v>
      </c>
      <c r="F24" s="9" t="n">
        <v>0.01</v>
      </c>
      <c r="G24" s="9" t="n">
        <v>0.01</v>
      </c>
      <c r="H24" s="9" t="n">
        <v>0</v>
      </c>
      <c r="I24" s="14" t="n">
        <v>0</v>
      </c>
    </row>
    <row r="25" customFormat="false" ht="13.8" hidden="false" customHeight="false" outlineLevel="0" collapsed="false">
      <c r="A25" s="1" t="s">
        <v>74</v>
      </c>
      <c r="B25" s="9" t="n">
        <v>0.8</v>
      </c>
      <c r="C25" s="9" t="n">
        <v>91.5</v>
      </c>
      <c r="D25" s="9" t="n">
        <v>7.2</v>
      </c>
      <c r="E25" s="9" t="n">
        <v>0.4</v>
      </c>
      <c r="F25" s="9" t="n">
        <v>0.05</v>
      </c>
      <c r="G25" s="9" t="n">
        <v>0.02</v>
      </c>
      <c r="H25" s="9" t="n">
        <v>0.01</v>
      </c>
      <c r="I25" s="14" t="n">
        <v>0.02</v>
      </c>
    </row>
    <row r="26" customFormat="false" ht="13.8" hidden="false" customHeight="false" outlineLevel="0" collapsed="false">
      <c r="A26" s="1" t="s">
        <v>21</v>
      </c>
      <c r="B26" s="9" t="n">
        <v>0.05</v>
      </c>
      <c r="C26" s="9" t="n">
        <v>2.5</v>
      </c>
      <c r="D26" s="9" t="n">
        <v>91</v>
      </c>
      <c r="E26" s="9" t="n">
        <v>5.8</v>
      </c>
      <c r="F26" s="9" t="n">
        <v>0.5</v>
      </c>
      <c r="G26" s="9" t="n">
        <v>0.1</v>
      </c>
      <c r="H26" s="9" t="n">
        <v>0.02</v>
      </c>
      <c r="I26" s="14" t="n">
        <v>0.03</v>
      </c>
    </row>
    <row r="27" customFormat="false" ht="13.8" hidden="false" customHeight="false" outlineLevel="0" collapsed="false">
      <c r="A27" s="1" t="s">
        <v>14</v>
      </c>
      <c r="B27" s="9" t="n">
        <v>0.02</v>
      </c>
      <c r="C27" s="9" t="n">
        <v>0.3</v>
      </c>
      <c r="D27" s="9" t="n">
        <v>5.5</v>
      </c>
      <c r="E27" s="9" t="n">
        <v>87</v>
      </c>
      <c r="F27" s="9" t="n">
        <v>5.5</v>
      </c>
      <c r="G27" s="9" t="n">
        <v>1.2</v>
      </c>
      <c r="H27" s="9" t="n">
        <v>0.3</v>
      </c>
      <c r="I27" s="14" t="n">
        <v>0.18</v>
      </c>
    </row>
    <row r="28" customFormat="false" ht="13.8" hidden="false" customHeight="false" outlineLevel="0" collapsed="false">
      <c r="A28" s="1" t="s">
        <v>18</v>
      </c>
      <c r="B28" s="9" t="n">
        <v>0</v>
      </c>
      <c r="C28" s="9" t="n">
        <v>0.1</v>
      </c>
      <c r="D28" s="9" t="n">
        <v>0.5</v>
      </c>
      <c r="E28" s="9" t="n">
        <v>7.5</v>
      </c>
      <c r="F28" s="9" t="n">
        <v>83</v>
      </c>
      <c r="G28" s="9" t="n">
        <v>7.5</v>
      </c>
      <c r="H28" s="9" t="n">
        <v>0.8</v>
      </c>
      <c r="I28" s="14" t="n">
        <v>0.6</v>
      </c>
    </row>
    <row r="29" customFormat="false" ht="13.8" hidden="false" customHeight="false" outlineLevel="0" collapsed="false">
      <c r="A29" s="1" t="s">
        <v>77</v>
      </c>
      <c r="B29" s="9" t="n">
        <v>0</v>
      </c>
      <c r="C29" s="9" t="n">
        <v>0.05</v>
      </c>
      <c r="D29" s="9" t="n">
        <v>0.2</v>
      </c>
      <c r="E29" s="9" t="n">
        <v>0.8</v>
      </c>
      <c r="F29" s="9" t="n">
        <v>6</v>
      </c>
      <c r="G29" s="9" t="n">
        <v>84</v>
      </c>
      <c r="H29" s="9" t="n">
        <v>5</v>
      </c>
      <c r="I29" s="14" t="n">
        <v>3.95</v>
      </c>
    </row>
    <row r="30" customFormat="false" ht="13.8" hidden="false" customHeight="false" outlineLevel="0" collapsed="false">
      <c r="A30" s="1" t="s">
        <v>90</v>
      </c>
      <c r="B30" s="9" t="n">
        <v>0</v>
      </c>
      <c r="C30" s="9" t="n">
        <v>0</v>
      </c>
      <c r="D30" s="9" t="n">
        <v>0.15</v>
      </c>
      <c r="E30" s="9" t="n">
        <v>0.5</v>
      </c>
      <c r="F30" s="9" t="n">
        <v>2</v>
      </c>
      <c r="G30" s="9" t="n">
        <v>10</v>
      </c>
      <c r="H30" s="9" t="n">
        <v>60</v>
      </c>
      <c r="I30" s="14" t="n">
        <v>27.35</v>
      </c>
    </row>
  </sheetData>
  <mergeCells count="5">
    <mergeCell ref="A1:I1"/>
    <mergeCell ref="A3:I3"/>
    <mergeCell ref="A17:I17"/>
    <mergeCell ref="A19:I19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2253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2025-10-23T11:35:48Z</dcterms:created>
  <dc:creator>openpyxl</dc:creator>
  <dc:description/>
  <dc:language>en-US</dc:language>
  <cp:lastModifiedBy/>
  <dcterms:modified xsi:type="dcterms:W3CDTF">2025-11-17T16:34:58Z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